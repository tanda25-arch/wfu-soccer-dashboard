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eltandia/Desktop/"/>
    </mc:Choice>
  </mc:AlternateContent>
  <xr:revisionPtr revIDLastSave="0" documentId="8_{C97761DA-CCFF-B340-A929-1A29EBA7C7FA}" xr6:coauthVersionLast="47" xr6:coauthVersionMax="47" xr10:uidLastSave="{00000000-0000-0000-0000-000000000000}"/>
  <bookViews>
    <workbookView xWindow="0" yWindow="740" windowWidth="29400" windowHeight="17260" xr2:uid="{00000000-000D-0000-FFFF-FFFF00000000}"/>
  </bookViews>
  <sheets>
    <sheet name="Match Summary (Analyst Data)" sheetId="1" r:id="rId1"/>
    <sheet name="Post-Match Report" sheetId="2" r:id="rId2"/>
    <sheet name="Targets &amp; Notes" sheetId="3" r:id="rId3"/>
    <sheet name="Attacking Metrics" sheetId="4" r:id="rId4"/>
    <sheet name="Defensive Metrics" sheetId="5" r:id="rId5"/>
    <sheet name="Possession &amp; Structure" sheetId="6" r:id="rId6"/>
    <sheet name="Game Outcomes" sheetId="7" r:id="rId7"/>
    <sheet name="Dashboard (Coach View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" l="1"/>
  <c r="B11" i="8"/>
  <c r="D11" i="8" s="1"/>
  <c r="C10" i="8"/>
  <c r="B10" i="8"/>
  <c r="D10" i="8" s="1"/>
  <c r="C9" i="8"/>
  <c r="B9" i="8"/>
  <c r="D9" i="8" s="1"/>
  <c r="D8" i="8"/>
  <c r="C8" i="8"/>
  <c r="B8" i="8"/>
  <c r="C7" i="8"/>
  <c r="D7" i="8" s="1"/>
  <c r="B7" i="8"/>
  <c r="C6" i="8"/>
  <c r="B6" i="8"/>
  <c r="D6" i="8" s="1"/>
  <c r="C5" i="8"/>
  <c r="B5" i="8"/>
  <c r="D5" i="8" s="1"/>
  <c r="C4" i="8"/>
  <c r="B4" i="8"/>
  <c r="D4" i="8" s="1"/>
  <c r="D5" i="7"/>
  <c r="C5" i="7"/>
  <c r="E5" i="7" s="1"/>
  <c r="E4" i="7"/>
  <c r="D4" i="7"/>
  <c r="C4" i="7"/>
  <c r="C6" i="6"/>
  <c r="E5" i="6"/>
  <c r="D5" i="6"/>
  <c r="C5" i="6"/>
  <c r="E4" i="6"/>
  <c r="D4" i="6"/>
  <c r="C4" i="6"/>
  <c r="D7" i="5"/>
  <c r="C7" i="5"/>
  <c r="E7" i="5" s="1"/>
  <c r="D6" i="5"/>
  <c r="C6" i="5"/>
  <c r="E6" i="5" s="1"/>
  <c r="D5" i="5"/>
  <c r="E5" i="5" s="1"/>
  <c r="C5" i="5"/>
  <c r="D4" i="5"/>
  <c r="C4" i="5"/>
  <c r="E4" i="5" s="1"/>
  <c r="D7" i="4"/>
  <c r="C7" i="4"/>
  <c r="E7" i="4" s="1"/>
  <c r="D6" i="4"/>
  <c r="E6" i="4" s="1"/>
  <c r="C6" i="4"/>
  <c r="E5" i="4"/>
  <c r="D5" i="4"/>
  <c r="C5" i="4"/>
  <c r="E4" i="4"/>
  <c r="D4" i="4"/>
  <c r="C4" i="4"/>
  <c r="E16" i="2"/>
  <c r="E15" i="2"/>
  <c r="E14" i="2"/>
  <c r="E13" i="2"/>
  <c r="E12" i="2"/>
  <c r="E11" i="2"/>
  <c r="E10" i="2"/>
  <c r="E9" i="2"/>
  <c r="E8" i="2"/>
  <c r="E7" i="2"/>
  <c r="E6" i="2"/>
  <c r="E5" i="2"/>
  <c r="E4" i="2"/>
  <c r="A4" i="2"/>
  <c r="D10" i="2" s="1"/>
  <c r="F10" i="2" s="1"/>
  <c r="D11" i="2" l="1"/>
  <c r="D5" i="2"/>
  <c r="D9" i="2"/>
  <c r="D12" i="2"/>
  <c r="D15" i="2"/>
  <c r="D4" i="2"/>
  <c r="D8" i="2"/>
  <c r="D14" i="2"/>
  <c r="F14" i="2" s="1"/>
  <c r="D6" i="2"/>
  <c r="D13" i="2"/>
  <c r="D16" i="2"/>
  <c r="F16" i="2" s="1"/>
  <c r="D7" i="2"/>
  <c r="C22" i="2" l="1"/>
  <c r="F8" i="2"/>
  <c r="F9" i="2"/>
  <c r="C23" i="2"/>
  <c r="F13" i="2"/>
  <c r="C24" i="2"/>
</calcChain>
</file>

<file path=xl/sharedStrings.xml><?xml version="1.0" encoding="utf-8"?>
<sst xmlns="http://schemas.openxmlformats.org/spreadsheetml/2006/main" count="160" uniqueCount="89">
  <si>
    <t>Wake Forest – Match-by-Match Summary</t>
  </si>
  <si>
    <t>Date</t>
  </si>
  <si>
    <t>Opponent</t>
  </si>
  <si>
    <t>Result</t>
  </si>
  <si>
    <t>WF Goals</t>
  </si>
  <si>
    <t>Opp Goals</t>
  </si>
  <si>
    <t>Pass %</t>
  </si>
  <si>
    <t>xG (WF)</t>
  </si>
  <si>
    <t>xG (Opp)</t>
  </si>
  <si>
    <t>Box Entries</t>
  </si>
  <si>
    <t>Def Duels Won %</t>
  </si>
  <si>
    <t>Opp Box Entries</t>
  </si>
  <si>
    <t>Possession %</t>
  </si>
  <si>
    <t>PPDA</t>
  </si>
  <si>
    <t>Avg. Line (m)</t>
  </si>
  <si>
    <t>Dribble %</t>
  </si>
  <si>
    <t>Notes</t>
  </si>
  <si>
    <t>2025-09-13</t>
  </si>
  <si>
    <t>North Carolina Heels</t>
  </si>
  <si>
    <t>D</t>
  </si>
  <si>
    <t>Pressed well but low duel success</t>
  </si>
  <si>
    <t>2025-09-20</t>
  </si>
  <si>
    <t>Virginia Cavaliers</t>
  </si>
  <si>
    <t>L</t>
  </si>
  <si>
    <t>Good possession, poor defense</t>
  </si>
  <si>
    <t>2025-09-23</t>
  </si>
  <si>
    <t>Liberty Flames</t>
  </si>
  <si>
    <t>W</t>
  </si>
  <si>
    <t>Best all-around performance</t>
  </si>
  <si>
    <t>2025-09-27</t>
  </si>
  <si>
    <t>Clemson Tigers</t>
  </si>
  <si>
    <t>Strong attack, weak defense</t>
  </si>
  <si>
    <t>Stanford Cardinal</t>
  </si>
  <si>
    <t>Low xG, struggled in duels</t>
  </si>
  <si>
    <t>Berkeley Golden Bears</t>
  </si>
  <si>
    <t>Efficient attack, poor duels</t>
  </si>
  <si>
    <t>Wofford Terriers</t>
  </si>
  <si>
    <t>Controlled game; low xG creation despite high possession</t>
  </si>
  <si>
    <t>Pittsburgh Panthers (A)</t>
  </si>
  <si>
    <t>Resilient road draw; low xG (0.47) but late equalizer. Limited possession (40%) and high PPDA (15.4) under pressure.</t>
  </si>
  <si>
    <t>Notre Dame Fighting Irish (H)</t>
  </si>
  <si>
    <t>Controlled win and clean sheet; strong defensive duels (67%) and held ND to 0.19 xG with 59% possession.</t>
  </si>
  <si>
    <t>SMU Mustangs (A)</t>
  </si>
  <si>
    <t>High-scoring match; efficient finishing (4 goals) but conceded heavy chances (4.59 xG, 21 shots) and 5 goals.</t>
  </si>
  <si>
    <t>Tip: Append new games inside the table. Downstream sheets and dashboard link to these columns.</t>
  </si>
  <si>
    <t>Post-Match Report – Auto (Latest Game)</t>
  </si>
  <si>
    <t>Latest Index</t>
  </si>
  <si>
    <t>Metric</t>
  </si>
  <si>
    <t>Value</t>
  </si>
  <si>
    <t>Target</t>
  </si>
  <si>
    <t>Status</t>
  </si>
  <si>
    <t>Score (WF–Opp)</t>
  </si>
  <si>
    <t>Opponent Box Entries</t>
  </si>
  <si>
    <t>Auto-Insights</t>
  </si>
  <si>
    <t>Targets (Edit as needed) &amp; Notes</t>
  </si>
  <si>
    <t>KPI</t>
  </si>
  <si>
    <t>Dribble Success %</t>
  </si>
  <si>
    <t>Defensive Duels Won %</t>
  </si>
  <si>
    <t>Goals Against</t>
  </si>
  <si>
    <t>PPDA (min)</t>
  </si>
  <si>
    <t>PPDA (max)</t>
  </si>
  <si>
    <t>Notes:</t>
  </si>
  <si>
    <t>• KPI targets reflect season objectives (coach-editable).</t>
  </si>
  <si>
    <t>• PPDA target is a band (min–max). Lower PPDA = more intense pressing.</t>
  </si>
  <si>
    <t>Attacking Metrics – Overview</t>
  </si>
  <si>
    <t>Description</t>
  </si>
  <si>
    <t>Current Avg</t>
  </si>
  <si>
    <t>Trend</t>
  </si>
  <si>
    <t>Overall pass accuracy</t>
  </si>
  <si>
    <t>Expected goals created</t>
  </si>
  <si>
    <t>Possessions reaching opponent penalty area</t>
  </si>
  <si>
    <t>Dribbles ÷ successful dribbles</t>
  </si>
  <si>
    <t>Defensive Metrics – Overview</t>
  </si>
  <si>
    <t>From 'Defensive duels / won'</t>
  </si>
  <si>
    <t>Opponent xG</t>
  </si>
  <si>
    <t>Expected goals conceded</t>
  </si>
  <si>
    <t>Actual goals conceded</t>
  </si>
  <si>
    <t>Opp. possessions reaching penalty area</t>
  </si>
  <si>
    <t>Possession &amp; Structure – Overview</t>
  </si>
  <si>
    <t>Team possession share</t>
  </si>
  <si>
    <t>Pressing intensity (passes allowed per defensive action)</t>
  </si>
  <si>
    <t>Average Formation Line (m)</t>
  </si>
  <si>
    <t>Team defensive line height</t>
  </si>
  <si>
    <t>Stable</t>
  </si>
  <si>
    <t>Game Outcomes – Summary</t>
  </si>
  <si>
    <t>Goals Scored</t>
  </si>
  <si>
    <t>Actual goals scored</t>
  </si>
  <si>
    <t>Wake Forest – Coach Dashboard (KPIs tied to season goals)</t>
  </si>
  <si>
    <t>Coach view highlights KPIs aligned with goals. Trends show last matches; targets editable in '99_Targets &amp; Notes'.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</si>
</sst>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3" fillId="2" borderId="1" xfId="0" applyFont="1" applyFill="1" applyBorder="1"/>
    <xf numFmtId="14" fontId="0" fillId="0" borderId="1" xfId="0" applyNumberFormat="1" applyBorder="1"/>
    <xf numFmtId="14" fontId="0" fillId="0" borderId="0" xfId="0" applyNumberFormat="1"/>
    <xf numFmtId="2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xG Comparison (Latest Match)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xG (WF)</c:v>
          </c:tx>
          <c:spPr>
            <a:ln>
              <a:prstDash val="solid"/>
            </a:ln>
          </c:spPr>
          <c:invertIfNegative val="0"/>
          <c:val>
            <c:numRef>
              <c:f>'Post-Match Report'!$D$9</c:f>
              <c:numCache>
                <c:formatCode>General</c:formatCode>
                <c:ptCount val="1"/>
                <c:pt idx="0">
                  <c:v>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A-4D41-A2DC-6DBD702E8FF1}"/>
            </c:ext>
          </c:extLst>
        </c:ser>
        <c:ser>
          <c:idx val="1"/>
          <c:order val="1"/>
          <c:tx>
            <c:v>xG (Opp)</c:v>
          </c:tx>
          <c:spPr>
            <a:ln>
              <a:prstDash val="solid"/>
            </a:ln>
          </c:spPr>
          <c:invertIfNegative val="0"/>
          <c:val>
            <c:numRef>
              <c:f>'Post-Match Report'!$D$10</c:f>
              <c:numCache>
                <c:formatCode>General</c:formatCode>
                <c:ptCount val="1"/>
                <c:pt idx="0">
                  <c:v>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A-4D41-A2DC-6DBD702E8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Penalty-Area Entries (Latest Match)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WF Box Entries</c:v>
          </c:tx>
          <c:spPr>
            <a:ln>
              <a:prstDash val="solid"/>
            </a:ln>
          </c:spPr>
          <c:invertIfNegative val="0"/>
          <c:val>
            <c:numRef>
              <c:f>'Post-Match Report'!$D$11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C-864E-816F-9133849E122C}"/>
            </c:ext>
          </c:extLst>
        </c:ser>
        <c:ser>
          <c:idx val="1"/>
          <c:order val="1"/>
          <c:tx>
            <c:v>Opp Box Entries</c:v>
          </c:tx>
          <c:spPr>
            <a:ln>
              <a:prstDash val="solid"/>
            </a:ln>
          </c:spPr>
          <c:invertIfNegative val="0"/>
          <c:val>
            <c:numRef>
              <c:f>'Post-Match Report'!$D$13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C-864E-816F-9133849E1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152400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15</xdr:col>
      <xdr:colOff>152400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chData" displayName="MatchData" ref="A3:P13" totalsRowShown="0">
  <autoFilter ref="A3:P13" xr:uid="{00000000-0009-0000-0100-000001000000}"/>
  <tableColumns count="16">
    <tableColumn id="1" xr3:uid="{00000000-0010-0000-0000-000001000000}" name="Date"/>
    <tableColumn id="2" xr3:uid="{00000000-0010-0000-0000-000002000000}" name="Opponent"/>
    <tableColumn id="3" xr3:uid="{00000000-0010-0000-0000-000003000000}" name="Result"/>
    <tableColumn id="4" xr3:uid="{00000000-0010-0000-0000-000004000000}" name="WF Goals"/>
    <tableColumn id="5" xr3:uid="{00000000-0010-0000-0000-000005000000}" name="Opp Goals"/>
    <tableColumn id="6" xr3:uid="{00000000-0010-0000-0000-000006000000}" name="Pass %"/>
    <tableColumn id="7" xr3:uid="{00000000-0010-0000-0000-000007000000}" name="xG (WF)"/>
    <tableColumn id="8" xr3:uid="{00000000-0010-0000-0000-000008000000}" name="xG (Opp)"/>
    <tableColumn id="9" xr3:uid="{00000000-0010-0000-0000-000009000000}" name="Box Entries"/>
    <tableColumn id="10" xr3:uid="{00000000-0010-0000-0000-00000A000000}" name="Def Duels Won %"/>
    <tableColumn id="11" xr3:uid="{00000000-0010-0000-0000-00000B000000}" name="Opp Box Entries"/>
    <tableColumn id="12" xr3:uid="{00000000-0010-0000-0000-00000C000000}" name="Possession %"/>
    <tableColumn id="13" xr3:uid="{00000000-0010-0000-0000-00000D000000}" name="PPDA"/>
    <tableColumn id="14" xr3:uid="{00000000-0010-0000-0000-00000E000000}" name="Avg. Line (m)"/>
    <tableColumn id="15" xr3:uid="{00000000-0010-0000-0000-00000F000000}" name="Dribble %"/>
    <tableColumn id="16" xr3:uid="{00000000-0010-0000-0000-000010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K29" sqref="K29"/>
    </sheetView>
  </sheetViews>
  <sheetFormatPr baseColWidth="10" defaultColWidth="8.83203125" defaultRowHeight="15" x14ac:dyDescent="0.2"/>
  <cols>
    <col min="1" max="15" width="16.6640625" customWidth="1"/>
    <col min="16" max="16" width="28.5" customWidth="1"/>
  </cols>
  <sheetData>
    <row r="1" spans="1:16" ht="19" customHeight="1" x14ac:dyDescent="0.25">
      <c r="A1" s="1" t="s">
        <v>0</v>
      </c>
    </row>
    <row r="3" spans="1:1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">
      <c r="A4" s="2" t="s">
        <v>17</v>
      </c>
      <c r="B4" s="2" t="s">
        <v>18</v>
      </c>
      <c r="C4" s="2" t="s">
        <v>19</v>
      </c>
      <c r="D4" s="2">
        <v>1</v>
      </c>
      <c r="E4" s="2">
        <v>1</v>
      </c>
      <c r="F4" s="2">
        <v>84</v>
      </c>
      <c r="G4" s="2">
        <v>0.6</v>
      </c>
      <c r="H4" s="2">
        <v>2.4</v>
      </c>
      <c r="I4" s="2">
        <v>10</v>
      </c>
      <c r="J4" s="2">
        <v>43</v>
      </c>
      <c r="K4" s="2">
        <v>22</v>
      </c>
      <c r="L4" s="2">
        <v>60</v>
      </c>
      <c r="M4" s="2">
        <v>6.8</v>
      </c>
      <c r="N4" s="2">
        <v>40.9</v>
      </c>
      <c r="O4" s="2">
        <v>38</v>
      </c>
      <c r="P4" s="2" t="s">
        <v>20</v>
      </c>
    </row>
    <row r="5" spans="1:16" x14ac:dyDescent="0.2">
      <c r="A5" s="2" t="s">
        <v>21</v>
      </c>
      <c r="B5" s="2" t="s">
        <v>22</v>
      </c>
      <c r="C5" s="2" t="s">
        <v>23</v>
      </c>
      <c r="D5" s="2">
        <v>3</v>
      </c>
      <c r="E5" s="2">
        <v>6</v>
      </c>
      <c r="F5" s="2">
        <v>85</v>
      </c>
      <c r="G5" s="2">
        <v>2.46</v>
      </c>
      <c r="H5" s="2">
        <v>2.78</v>
      </c>
      <c r="I5" s="2">
        <v>19</v>
      </c>
      <c r="J5" s="2">
        <v>51</v>
      </c>
      <c r="K5" s="2">
        <v>19</v>
      </c>
      <c r="L5" s="2">
        <v>61</v>
      </c>
      <c r="M5" s="2">
        <v>7.2</v>
      </c>
      <c r="N5" s="2">
        <v>48.1</v>
      </c>
      <c r="O5" s="2">
        <v>61</v>
      </c>
      <c r="P5" s="2" t="s">
        <v>24</v>
      </c>
    </row>
    <row r="6" spans="1:16" x14ac:dyDescent="0.2">
      <c r="A6" s="2" t="s">
        <v>25</v>
      </c>
      <c r="B6" s="2" t="s">
        <v>26</v>
      </c>
      <c r="C6" s="2" t="s">
        <v>27</v>
      </c>
      <c r="D6" s="2">
        <v>7</v>
      </c>
      <c r="E6" s="2">
        <v>0</v>
      </c>
      <c r="F6" s="2">
        <v>85</v>
      </c>
      <c r="G6" s="2">
        <v>3.43</v>
      </c>
      <c r="H6" s="2">
        <v>1.1100000000000001</v>
      </c>
      <c r="I6" s="2">
        <v>13</v>
      </c>
      <c r="J6" s="2">
        <v>54</v>
      </c>
      <c r="K6" s="2">
        <v>9</v>
      </c>
      <c r="L6" s="2">
        <v>60</v>
      </c>
      <c r="M6" s="2">
        <v>7.6</v>
      </c>
      <c r="N6" s="2">
        <v>46.4</v>
      </c>
      <c r="O6" s="2">
        <v>63</v>
      </c>
      <c r="P6" s="2" t="s">
        <v>28</v>
      </c>
    </row>
    <row r="7" spans="1:16" x14ac:dyDescent="0.2">
      <c r="A7" s="2" t="s">
        <v>29</v>
      </c>
      <c r="B7" s="2" t="s">
        <v>30</v>
      </c>
      <c r="C7" s="2" t="s">
        <v>23</v>
      </c>
      <c r="D7" s="2">
        <v>3</v>
      </c>
      <c r="E7" s="2">
        <v>4</v>
      </c>
      <c r="F7" s="2">
        <v>86</v>
      </c>
      <c r="G7" s="2">
        <v>1.55</v>
      </c>
      <c r="H7" s="2">
        <v>2.29</v>
      </c>
      <c r="I7" s="2">
        <v>10</v>
      </c>
      <c r="J7" s="2">
        <v>39</v>
      </c>
      <c r="K7" s="2">
        <v>20</v>
      </c>
      <c r="L7" s="2">
        <v>62</v>
      </c>
      <c r="M7" s="2">
        <v>5.8</v>
      </c>
      <c r="N7" s="2">
        <v>42.1</v>
      </c>
      <c r="O7" s="2">
        <v>46</v>
      </c>
      <c r="P7" s="2" t="s">
        <v>31</v>
      </c>
    </row>
    <row r="8" spans="1:16" x14ac:dyDescent="0.2">
      <c r="A8" s="5">
        <v>45935</v>
      </c>
      <c r="B8" t="s">
        <v>32</v>
      </c>
      <c r="C8" t="s">
        <v>23</v>
      </c>
      <c r="D8">
        <v>0</v>
      </c>
      <c r="E8">
        <v>2</v>
      </c>
      <c r="F8">
        <v>76</v>
      </c>
      <c r="G8">
        <v>0.71</v>
      </c>
      <c r="H8">
        <v>2.4700000000000002</v>
      </c>
      <c r="I8">
        <v>13</v>
      </c>
      <c r="J8">
        <v>40</v>
      </c>
      <c r="K8">
        <v>21</v>
      </c>
      <c r="L8">
        <v>51</v>
      </c>
      <c r="M8">
        <v>7.4</v>
      </c>
      <c r="N8">
        <v>42.6</v>
      </c>
      <c r="O8">
        <v>44</v>
      </c>
      <c r="P8" t="s">
        <v>33</v>
      </c>
    </row>
    <row r="9" spans="1:16" x14ac:dyDescent="0.2">
      <c r="A9" s="5">
        <v>45942</v>
      </c>
      <c r="B9" t="s">
        <v>34</v>
      </c>
      <c r="C9" t="s">
        <v>27</v>
      </c>
      <c r="D9">
        <v>2</v>
      </c>
      <c r="E9">
        <v>1</v>
      </c>
      <c r="F9">
        <v>69</v>
      </c>
      <c r="G9">
        <v>1.88</v>
      </c>
      <c r="H9">
        <v>2.52</v>
      </c>
      <c r="I9">
        <v>13</v>
      </c>
      <c r="J9">
        <v>41</v>
      </c>
      <c r="K9">
        <v>27</v>
      </c>
      <c r="L9">
        <v>47</v>
      </c>
      <c r="M9">
        <v>9.1</v>
      </c>
      <c r="N9">
        <v>43.4</v>
      </c>
      <c r="O9">
        <v>54</v>
      </c>
      <c r="P9" t="s">
        <v>35</v>
      </c>
    </row>
    <row r="10" spans="1:16" x14ac:dyDescent="0.2">
      <c r="A10" s="6">
        <v>45952</v>
      </c>
      <c r="B10" t="s">
        <v>36</v>
      </c>
      <c r="C10" t="s">
        <v>19</v>
      </c>
      <c r="D10">
        <v>2</v>
      </c>
      <c r="E10">
        <v>2</v>
      </c>
      <c r="F10">
        <v>87</v>
      </c>
      <c r="G10">
        <v>0.63</v>
      </c>
      <c r="H10">
        <v>0.78</v>
      </c>
      <c r="I10">
        <v>23</v>
      </c>
      <c r="J10">
        <v>68</v>
      </c>
      <c r="K10">
        <v>7</v>
      </c>
      <c r="L10">
        <v>67</v>
      </c>
      <c r="M10">
        <v>6.7</v>
      </c>
      <c r="N10">
        <v>54</v>
      </c>
      <c r="O10">
        <v>57</v>
      </c>
      <c r="P10" t="s">
        <v>37</v>
      </c>
    </row>
    <row r="11" spans="1:16" x14ac:dyDescent="0.2">
      <c r="A11" s="6">
        <v>45955</v>
      </c>
      <c r="B11" t="s">
        <v>38</v>
      </c>
      <c r="C11" t="s">
        <v>19</v>
      </c>
      <c r="D11">
        <v>1</v>
      </c>
      <c r="E11">
        <v>1</v>
      </c>
      <c r="F11">
        <v>79</v>
      </c>
      <c r="G11">
        <v>0.47</v>
      </c>
      <c r="H11">
        <v>2.99</v>
      </c>
      <c r="I11">
        <v>8</v>
      </c>
      <c r="J11">
        <v>51</v>
      </c>
      <c r="K11">
        <v>15</v>
      </c>
      <c r="L11">
        <v>40</v>
      </c>
      <c r="M11">
        <v>15.4</v>
      </c>
      <c r="N11">
        <v>43.7</v>
      </c>
      <c r="O11">
        <v>71</v>
      </c>
      <c r="P11" t="s">
        <v>39</v>
      </c>
    </row>
    <row r="12" spans="1:16" x14ac:dyDescent="0.2">
      <c r="A12" s="8">
        <v>45962</v>
      </c>
      <c r="B12" t="s">
        <v>40</v>
      </c>
      <c r="C12" t="s">
        <v>27</v>
      </c>
      <c r="D12">
        <v>3</v>
      </c>
      <c r="E12">
        <v>0</v>
      </c>
      <c r="F12">
        <v>87</v>
      </c>
      <c r="G12">
        <v>2.36</v>
      </c>
      <c r="H12">
        <v>0.19</v>
      </c>
      <c r="I12">
        <v>9</v>
      </c>
      <c r="J12">
        <v>67</v>
      </c>
      <c r="K12">
        <v>5</v>
      </c>
      <c r="L12">
        <v>59</v>
      </c>
      <c r="M12">
        <v>8.3000000000000007</v>
      </c>
      <c r="N12">
        <v>48.7</v>
      </c>
      <c r="O12">
        <v>50</v>
      </c>
      <c r="P12" t="s">
        <v>41</v>
      </c>
    </row>
    <row r="13" spans="1:16" x14ac:dyDescent="0.2">
      <c r="A13" s="8">
        <v>45967</v>
      </c>
      <c r="B13" t="s">
        <v>42</v>
      </c>
      <c r="C13" t="s">
        <v>23</v>
      </c>
      <c r="D13">
        <v>4</v>
      </c>
      <c r="E13">
        <v>5</v>
      </c>
      <c r="F13">
        <v>79</v>
      </c>
      <c r="G13">
        <v>1.08</v>
      </c>
      <c r="H13">
        <v>4.59</v>
      </c>
      <c r="I13">
        <v>9</v>
      </c>
      <c r="J13">
        <v>56</v>
      </c>
      <c r="K13">
        <v>28</v>
      </c>
      <c r="L13">
        <v>44</v>
      </c>
      <c r="M13">
        <v>7.5</v>
      </c>
      <c r="N13">
        <v>45.2</v>
      </c>
      <c r="O13">
        <v>68</v>
      </c>
      <c r="P13" t="s">
        <v>43</v>
      </c>
    </row>
    <row r="14" spans="1:16" x14ac:dyDescent="0.2">
      <c r="A14" s="3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activeCell="F31" sqref="F31"/>
    </sheetView>
  </sheetViews>
  <sheetFormatPr baseColWidth="10" defaultColWidth="8.83203125" defaultRowHeight="15" x14ac:dyDescent="0.2"/>
  <cols>
    <col min="1" max="2" width="18.6640625" customWidth="1"/>
    <col min="3" max="7" width="28.6640625" customWidth="1"/>
  </cols>
  <sheetData>
    <row r="1" spans="1:6" ht="19" customHeight="1" x14ac:dyDescent="0.25">
      <c r="A1" s="1" t="s">
        <v>45</v>
      </c>
    </row>
    <row r="3" spans="1:6" x14ac:dyDescent="0.2">
      <c r="A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</row>
    <row r="4" spans="1:6" x14ac:dyDescent="0.2">
      <c r="A4" s="2">
        <f>ROWS(MatchData[Date])</f>
        <v>10</v>
      </c>
      <c r="C4" s="2" t="s">
        <v>1</v>
      </c>
      <c r="D4" s="2">
        <f>INDEX(MatchData[Date], $A$4)</f>
        <v>45967</v>
      </c>
      <c r="E4" s="2" t="str">
        <f>IFERROR(INDEX('Targets &amp; Notes'!$B:$B, MATCH($C4, 'Targets &amp; Notes'!$A:$A, 0)),"")</f>
        <v/>
      </c>
      <c r="F4" s="2"/>
    </row>
    <row r="5" spans="1:6" x14ac:dyDescent="0.2">
      <c r="C5" s="2" t="s">
        <v>2</v>
      </c>
      <c r="D5" s="2" t="str">
        <f>INDEX(MatchData[Opponent], $A$4)</f>
        <v>SMU Mustangs (A)</v>
      </c>
      <c r="E5" s="2" t="str">
        <f>IFERROR(INDEX('Targets &amp; Notes'!$B:$B, MATCH($C5, 'Targets &amp; Notes'!$A:$A, 0)),"")</f>
        <v/>
      </c>
      <c r="F5" s="2"/>
    </row>
    <row r="6" spans="1:6" x14ac:dyDescent="0.2">
      <c r="C6" s="2" t="s">
        <v>3</v>
      </c>
      <c r="D6" s="2" t="str">
        <f>INDEX(MatchData[Result], $A$4)</f>
        <v>L</v>
      </c>
      <c r="E6" s="2" t="str">
        <f>IFERROR(INDEX('Targets &amp; Notes'!$B:$B, MATCH($C6, 'Targets &amp; Notes'!$A:$A, 0)),"")</f>
        <v/>
      </c>
      <c r="F6" s="2"/>
    </row>
    <row r="7" spans="1:6" x14ac:dyDescent="0.2">
      <c r="C7" s="2" t="s">
        <v>51</v>
      </c>
      <c r="D7" s="2" t="str">
        <f>INDEX(MatchData[WF Goals], $A$4)&amp;"–"&amp;INDEX(MatchData[Opp Goals], $A$4)</f>
        <v>4–5</v>
      </c>
      <c r="E7" s="2" t="str">
        <f>IFERROR(INDEX('Targets &amp; Notes'!$B:$B, MATCH($C7, 'Targets &amp; Notes'!$A:$A, 0)),"")</f>
        <v/>
      </c>
      <c r="F7" s="2"/>
    </row>
    <row r="8" spans="1:6" x14ac:dyDescent="0.2">
      <c r="C8" s="2" t="s">
        <v>6</v>
      </c>
      <c r="D8" s="2">
        <f>INDEX(MatchData[Pass %], $A$4)</f>
        <v>79</v>
      </c>
      <c r="E8" s="2">
        <f>IFERROR(INDEX('Targets &amp; Notes'!$B:$B, MATCH($C8, 'Targets &amp; Notes'!$A:$A, 0)),"")</f>
        <v>85</v>
      </c>
      <c r="F8" s="2" t="str">
        <f>IF(D8&gt;=E8,"On Track","Needs Improvement")</f>
        <v>Needs Improvement</v>
      </c>
    </row>
    <row r="9" spans="1:6" x14ac:dyDescent="0.2">
      <c r="C9" s="2" t="s">
        <v>7</v>
      </c>
      <c r="D9" s="2">
        <f>INDEX(MatchData[xG (WF)], $A$4)</f>
        <v>1.08</v>
      </c>
      <c r="E9" s="2">
        <f>IFERROR(INDEX('Targets &amp; Notes'!$B:$B, MATCH($C9, 'Targets &amp; Notes'!$A:$A, 0)),"")</f>
        <v>2</v>
      </c>
      <c r="F9" s="2" t="str">
        <f>IF(D9&gt;=E9,"On Track","Needs Improvement")</f>
        <v>Needs Improvement</v>
      </c>
    </row>
    <row r="10" spans="1:6" x14ac:dyDescent="0.2">
      <c r="C10" s="2" t="s">
        <v>8</v>
      </c>
      <c r="D10" s="2">
        <f>INDEX(MatchData[xG (Opp)], $A$4)</f>
        <v>4.59</v>
      </c>
      <c r="E10" s="2">
        <f>IFERROR(INDEX('Targets &amp; Notes'!$B:$B, MATCH($C10, 'Targets &amp; Notes'!$A:$A, 0)),"")</f>
        <v>1.5</v>
      </c>
      <c r="F10" s="2" t="str">
        <f>IF(D10&lt;=E10,"On Track","Needs Improvement")</f>
        <v>Needs Improvement</v>
      </c>
    </row>
    <row r="11" spans="1:6" x14ac:dyDescent="0.2">
      <c r="C11" s="2" t="s">
        <v>9</v>
      </c>
      <c r="D11" s="2">
        <f>INDEX(MatchData[Box Entries], $A$4)</f>
        <v>9</v>
      </c>
      <c r="E11" s="2">
        <f>IFERROR(INDEX('Targets &amp; Notes'!$B:$B, MATCH($C11, 'Targets &amp; Notes'!$A:$A, 0)),"")</f>
        <v>12</v>
      </c>
      <c r="F11" s="2"/>
    </row>
    <row r="12" spans="1:6" x14ac:dyDescent="0.2">
      <c r="C12" s="2" t="s">
        <v>10</v>
      </c>
      <c r="D12" s="2">
        <f>INDEX(MatchData[Def Duels Won %], $A$4)</f>
        <v>56</v>
      </c>
      <c r="E12" s="2" t="str">
        <f>IFERROR(INDEX('Targets &amp; Notes'!$B:$B, MATCH($C12, 'Targets &amp; Notes'!$A:$A, 0)),"")</f>
        <v/>
      </c>
      <c r="F12" s="2"/>
    </row>
    <row r="13" spans="1:6" x14ac:dyDescent="0.2">
      <c r="C13" s="2" t="s">
        <v>52</v>
      </c>
      <c r="D13" s="2">
        <f>INDEX(MatchData[Opp Box Entries], $A$4)</f>
        <v>28</v>
      </c>
      <c r="E13" s="2">
        <f>IFERROR(INDEX('Targets &amp; Notes'!$B:$B, MATCH($C13, 'Targets &amp; Notes'!$A:$A, 0)),"")</f>
        <v>15</v>
      </c>
      <c r="F13" s="2" t="str">
        <f>IF(D13&lt;=E13,"On Track","Needs Improvement")</f>
        <v>Needs Improvement</v>
      </c>
    </row>
    <row r="14" spans="1:6" x14ac:dyDescent="0.2">
      <c r="C14" s="2" t="s">
        <v>13</v>
      </c>
      <c r="D14" s="2">
        <f>INDEX(MatchData[PPDA], $A$4)</f>
        <v>7.5</v>
      </c>
      <c r="E14" s="2" t="str">
        <f>IFERROR(INDEX('Targets &amp; Notes'!$B:$B, MATCH($C14, 'Targets &amp; Notes'!$A:$A, 0)),"")</f>
        <v/>
      </c>
      <c r="F14" s="2" t="str">
        <f>IF(AND(D14&gt;=INDEX('Targets &amp; Notes'!$B:$B, MATCH("PPDA (min)", 'Targets &amp; Notes'!$A:$A, 0)),D14&lt;=INDEX('Targets &amp; Notes'!$B:$B, MATCH("PPDA (max)", 'Targets &amp; Notes'!$A:$A, 0))),"On Track","Needs Improvement")</f>
        <v>On Track</v>
      </c>
    </row>
    <row r="15" spans="1:6" x14ac:dyDescent="0.2">
      <c r="C15" s="2" t="s">
        <v>14</v>
      </c>
      <c r="D15" s="2">
        <f>INDEX(MatchData[Avg. Line (m)], $A$4)</f>
        <v>45.2</v>
      </c>
      <c r="E15" s="2">
        <f>IFERROR(INDEX('Targets &amp; Notes'!$B:$B, MATCH($C15, 'Targets &amp; Notes'!$A:$A, 0)),"")</f>
        <v>0</v>
      </c>
      <c r="F15" s="2"/>
    </row>
    <row r="16" spans="1:6" x14ac:dyDescent="0.2">
      <c r="C16" s="2" t="s">
        <v>15</v>
      </c>
      <c r="D16" s="2">
        <f>INDEX(MatchData[Dribble %], $A$4)</f>
        <v>68</v>
      </c>
      <c r="E16" s="2" t="str">
        <f>IFERROR(INDEX('Targets &amp; Notes'!$B:$B, MATCH($C16, 'Targets &amp; Notes'!$A:$A, 0)),"")</f>
        <v/>
      </c>
      <c r="F16" s="2" t="str">
        <f>IF(D16&gt;=E16,"On Track","Needs Improvement")</f>
        <v>Needs Improvement</v>
      </c>
    </row>
    <row r="21" spans="3:3" x14ac:dyDescent="0.2">
      <c r="C21" s="4" t="s">
        <v>53</v>
      </c>
    </row>
    <row r="22" spans="3:3" x14ac:dyDescent="0.2">
      <c r="C22" t="str">
        <f>IF($E8&lt;&gt;"", IF($D8&gt;=$E8, "✓ Passing met target.", "• Improve passing under pressure."), "• Review passing performance vs target.")</f>
        <v>• Improve passing under pressure.</v>
      </c>
    </row>
    <row r="23" spans="3:3" x14ac:dyDescent="0.2">
      <c r="C23" t="str">
        <f>IF($D9&gt;$D10, "✓ Created higher xG than opponent.", "• Opponent xG higher—review defensive shot quality.")</f>
        <v>• Opponent xG higher—review defensive shot quality.</v>
      </c>
    </row>
    <row r="24" spans="3:3" x14ac:dyDescent="0.2">
      <c r="C24" t="str">
        <f>IF(AND($E13&lt;&gt;"",$D13&lt;=$E13), "✓ Opponent box entries controlled.", "• Too many opponent entries—tighten defensive duels and shape.")</f>
        <v>• Too many opponent entries—tighten defensive duels and shape.</v>
      </c>
    </row>
  </sheetData>
  <conditionalFormatting sqref="F4:F17">
    <cfRule type="containsText" dxfId="12" priority="1" operator="containsText" text="On Track">
      <formula>NOT(ISERROR(SEARCH("On Track",F4)))</formula>
    </cfRule>
    <cfRule type="containsText" dxfId="11" priority="2" operator="containsText" text="Needs Improvement">
      <formula>NOT(ISERROR(SEARCH("Needs Improvement",F4)))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8.83203125" defaultRowHeight="15" x14ac:dyDescent="0.2"/>
  <cols>
    <col min="1" max="2" width="22.6640625" customWidth="1"/>
  </cols>
  <sheetData>
    <row r="1" spans="1:2" ht="19" customHeight="1" x14ac:dyDescent="0.25">
      <c r="A1" s="1" t="s">
        <v>54</v>
      </c>
    </row>
    <row r="3" spans="1:2" x14ac:dyDescent="0.2">
      <c r="A3" s="4" t="s">
        <v>55</v>
      </c>
      <c r="B3" s="4" t="s">
        <v>49</v>
      </c>
    </row>
    <row r="4" spans="1:2" x14ac:dyDescent="0.2">
      <c r="A4" s="2" t="s">
        <v>6</v>
      </c>
      <c r="B4" s="2">
        <v>85</v>
      </c>
    </row>
    <row r="5" spans="1:2" x14ac:dyDescent="0.2">
      <c r="A5" s="2" t="s">
        <v>7</v>
      </c>
      <c r="B5" s="2">
        <v>2</v>
      </c>
    </row>
    <row r="6" spans="1:2" x14ac:dyDescent="0.2">
      <c r="A6" s="2" t="s">
        <v>9</v>
      </c>
      <c r="B6" s="2">
        <v>12</v>
      </c>
    </row>
    <row r="7" spans="1:2" x14ac:dyDescent="0.2">
      <c r="A7" s="2" t="s">
        <v>56</v>
      </c>
      <c r="B7" s="2">
        <v>55</v>
      </c>
    </row>
    <row r="8" spans="1:2" x14ac:dyDescent="0.2">
      <c r="A8" s="2" t="s">
        <v>57</v>
      </c>
      <c r="B8" s="2">
        <v>55</v>
      </c>
    </row>
    <row r="9" spans="1:2" x14ac:dyDescent="0.2">
      <c r="A9" s="2" t="s">
        <v>52</v>
      </c>
      <c r="B9" s="2">
        <v>15</v>
      </c>
    </row>
    <row r="10" spans="1:2" x14ac:dyDescent="0.2">
      <c r="A10" s="2" t="s">
        <v>8</v>
      </c>
      <c r="B10" s="2">
        <v>1.5</v>
      </c>
    </row>
    <row r="11" spans="1:2" x14ac:dyDescent="0.2">
      <c r="A11" s="2" t="s">
        <v>58</v>
      </c>
      <c r="B11" s="2">
        <v>1</v>
      </c>
    </row>
    <row r="12" spans="1:2" x14ac:dyDescent="0.2">
      <c r="A12" s="2" t="s">
        <v>59</v>
      </c>
      <c r="B12" s="2">
        <v>6</v>
      </c>
    </row>
    <row r="13" spans="1:2" x14ac:dyDescent="0.2">
      <c r="A13" s="2" t="s">
        <v>60</v>
      </c>
      <c r="B13" s="2">
        <v>8</v>
      </c>
    </row>
    <row r="14" spans="1:2" x14ac:dyDescent="0.2">
      <c r="A14" s="2" t="s">
        <v>12</v>
      </c>
      <c r="B14" s="2">
        <v>60</v>
      </c>
    </row>
    <row r="15" spans="1:2" x14ac:dyDescent="0.2">
      <c r="A15" s="2" t="s">
        <v>14</v>
      </c>
      <c r="B15" s="2"/>
    </row>
    <row r="18" spans="1:1" x14ac:dyDescent="0.2">
      <c r="A18" s="4" t="s">
        <v>61</v>
      </c>
    </row>
    <row r="19" spans="1:1" x14ac:dyDescent="0.2">
      <c r="A19" s="3" t="s">
        <v>62</v>
      </c>
    </row>
    <row r="20" spans="1:1" x14ac:dyDescent="0.2">
      <c r="A20" s="3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C16" sqref="C16"/>
    </sheetView>
  </sheetViews>
  <sheetFormatPr baseColWidth="10" defaultColWidth="8.83203125" defaultRowHeight="15" x14ac:dyDescent="0.2"/>
  <cols>
    <col min="1" max="6" width="24.6640625" customWidth="1"/>
  </cols>
  <sheetData>
    <row r="1" spans="1:6" ht="19" customHeight="1" x14ac:dyDescent="0.25">
      <c r="A1" s="1" t="s">
        <v>64</v>
      </c>
    </row>
    <row r="3" spans="1:6" x14ac:dyDescent="0.2">
      <c r="A3" s="4" t="s">
        <v>47</v>
      </c>
      <c r="B3" s="4" t="s">
        <v>65</v>
      </c>
      <c r="C3" s="4" t="s">
        <v>66</v>
      </c>
      <c r="D3" s="4" t="s">
        <v>49</v>
      </c>
      <c r="E3" s="4" t="s">
        <v>50</v>
      </c>
      <c r="F3" s="4" t="s">
        <v>67</v>
      </c>
    </row>
    <row r="4" spans="1:6" x14ac:dyDescent="0.2">
      <c r="A4" s="2" t="s">
        <v>6</v>
      </c>
      <c r="B4" s="2" t="s">
        <v>68</v>
      </c>
      <c r="C4" s="7">
        <f>AVERAGE(MatchData[Pass %])</f>
        <v>81.7</v>
      </c>
      <c r="D4" s="2">
        <f>INDEX('Targets &amp; Notes'!$B:$B, MATCH("Pass %", 'Targets &amp; Notes'!$A:$A, 0))</f>
        <v>85</v>
      </c>
      <c r="E4" s="2" t="str">
        <f>IF(C4&gt;=D4,"On Track","Needs Improvement")</f>
        <v>Needs Improvement</v>
      </c>
    </row>
    <row r="5" spans="1:6" x14ac:dyDescent="0.2">
      <c r="A5" s="2" t="s">
        <v>7</v>
      </c>
      <c r="B5" s="2" t="s">
        <v>69</v>
      </c>
      <c r="C5" s="7">
        <f>AVERAGE(MatchData[xG (WF)])</f>
        <v>1.5169999999999999</v>
      </c>
      <c r="D5" s="2">
        <f>INDEX('Targets &amp; Notes'!$B:$B, MATCH("xG (WF)", 'Targets &amp; Notes'!$A:$A, 0))</f>
        <v>2</v>
      </c>
      <c r="E5" s="2" t="str">
        <f>IF(C5&gt;=D5,"On Track","Needs Improvement")</f>
        <v>Needs Improvement</v>
      </c>
    </row>
    <row r="6" spans="1:6" x14ac:dyDescent="0.2">
      <c r="A6" s="2" t="s">
        <v>9</v>
      </c>
      <c r="B6" s="2" t="s">
        <v>70</v>
      </c>
      <c r="C6" s="7">
        <f>AVERAGE(MatchData[Box Entries])</f>
        <v>12.7</v>
      </c>
      <c r="D6" s="2">
        <f>INDEX('Targets &amp; Notes'!$B:$B, MATCH("Box Entries", 'Targets &amp; Notes'!$A:$A, 0))</f>
        <v>12</v>
      </c>
      <c r="E6" s="2" t="str">
        <f>IF(C6&gt;=D6,"On Track","Needs Improvement")</f>
        <v>On Track</v>
      </c>
    </row>
    <row r="7" spans="1:6" x14ac:dyDescent="0.2">
      <c r="A7" s="2" t="s">
        <v>56</v>
      </c>
      <c r="B7" s="2" t="s">
        <v>71</v>
      </c>
      <c r="C7" s="7">
        <f>AVERAGE(MatchData[Dribble %])</f>
        <v>55.2</v>
      </c>
      <c r="D7" s="2">
        <f>INDEX('Targets &amp; Notes'!$B:$B, MATCH("Dribble Success %", 'Targets &amp; Notes'!$A:$A, 0))</f>
        <v>55</v>
      </c>
      <c r="E7" s="2" t="str">
        <f>IF(C7&gt;=D7,"On Track","Needs Improvement")</f>
        <v>On Track</v>
      </c>
    </row>
  </sheetData>
  <conditionalFormatting sqref="E4:E10">
    <cfRule type="containsText" dxfId="10" priority="1" operator="containsText" text="On Track">
      <formula>NOT(ISERROR(SEARCH("On Track",E4)))</formula>
    </cfRule>
    <cfRule type="containsText" dxfId="9" priority="2" operator="containsText" text="Needs Improvement">
      <formula>NOT(ISERROR(SEARCH("Needs Improvement",E4)))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E27" sqref="E27"/>
    </sheetView>
  </sheetViews>
  <sheetFormatPr baseColWidth="10" defaultColWidth="8.83203125" defaultRowHeight="15" x14ac:dyDescent="0.2"/>
  <cols>
    <col min="1" max="6" width="26.6640625" customWidth="1"/>
  </cols>
  <sheetData>
    <row r="1" spans="1:6" ht="19" customHeight="1" x14ac:dyDescent="0.25">
      <c r="A1" s="1" t="s">
        <v>72</v>
      </c>
    </row>
    <row r="3" spans="1:6" x14ac:dyDescent="0.2">
      <c r="A3" s="4" t="s">
        <v>47</v>
      </c>
      <c r="B3" s="4" t="s">
        <v>65</v>
      </c>
      <c r="C3" s="4" t="s">
        <v>66</v>
      </c>
      <c r="D3" s="4" t="s">
        <v>49</v>
      </c>
      <c r="E3" s="4" t="s">
        <v>50</v>
      </c>
      <c r="F3" s="4" t="s">
        <v>67</v>
      </c>
    </row>
    <row r="4" spans="1:6" x14ac:dyDescent="0.2">
      <c r="A4" s="2" t="s">
        <v>57</v>
      </c>
      <c r="B4" s="2" t="s">
        <v>73</v>
      </c>
      <c r="C4" s="7">
        <f>AVERAGE(MatchData[Def Duels Won %])</f>
        <v>51</v>
      </c>
      <c r="D4" s="2">
        <f>INDEX('Targets &amp; Notes'!$B:$B, MATCH("Defensive Duels Won %", 'Targets &amp; Notes'!$A:$A, 0))</f>
        <v>55</v>
      </c>
      <c r="E4" s="2" t="str">
        <f>IF(C4&gt;=D4,"On Track","Needs Improvement")</f>
        <v>Needs Improvement</v>
      </c>
    </row>
    <row r="5" spans="1:6" x14ac:dyDescent="0.2">
      <c r="A5" s="2" t="s">
        <v>74</v>
      </c>
      <c r="B5" s="2" t="s">
        <v>75</v>
      </c>
      <c r="C5" s="7">
        <f>AVERAGE(MatchData[xG (Opp)])</f>
        <v>2.2120000000000002</v>
      </c>
      <c r="D5" s="2">
        <f>INDEX('Targets &amp; Notes'!$B:$B, MATCH("xG (Opp)", 'Targets &amp; Notes'!$A:$A, 0))</f>
        <v>1.5</v>
      </c>
      <c r="E5" s="2" t="str">
        <f>IF(C5&lt;=D5,"On Track","Needs Improvement")</f>
        <v>Needs Improvement</v>
      </c>
    </row>
    <row r="6" spans="1:6" x14ac:dyDescent="0.2">
      <c r="A6" s="2" t="s">
        <v>58</v>
      </c>
      <c r="B6" s="2" t="s">
        <v>76</v>
      </c>
      <c r="C6" s="7">
        <f>AVERAGE(MatchData[Opp Goals])</f>
        <v>2.2000000000000002</v>
      </c>
      <c r="D6" s="2">
        <f>INDEX('Targets &amp; Notes'!$B:$B, MATCH("Goals Against", 'Targets &amp; Notes'!$A:$A, 0))</f>
        <v>1</v>
      </c>
      <c r="E6" s="2" t="str">
        <f>IF(C6&lt;=D6,"On Track","Needs Improvement")</f>
        <v>Needs Improvement</v>
      </c>
    </row>
    <row r="7" spans="1:6" x14ac:dyDescent="0.2">
      <c r="A7" s="2" t="s">
        <v>52</v>
      </c>
      <c r="B7" s="2" t="s">
        <v>77</v>
      </c>
      <c r="C7" s="7">
        <f>AVERAGE(MatchData[Opp Box Entries])</f>
        <v>17.3</v>
      </c>
      <c r="D7" s="2">
        <f>INDEX('Targets &amp; Notes'!$B:$B, MATCH("Opponent Box Entries", 'Targets &amp; Notes'!$A:$A, 0))</f>
        <v>15</v>
      </c>
      <c r="E7" s="2" t="str">
        <f>IF(C7&lt;=D7,"On Track","Needs Improvement")</f>
        <v>Needs Improvement</v>
      </c>
    </row>
  </sheetData>
  <conditionalFormatting sqref="E4:E10">
    <cfRule type="containsText" dxfId="8" priority="1" operator="containsText" text="On Track">
      <formula>NOT(ISERROR(SEARCH("On Track",E4)))</formula>
    </cfRule>
    <cfRule type="containsText" dxfId="7" priority="2" operator="containsText" text="Needs Improvement">
      <formula>NOT(ISERROR(SEARCH("Needs Improvement",E4)))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C4" sqref="C4:C6"/>
    </sheetView>
  </sheetViews>
  <sheetFormatPr baseColWidth="10" defaultColWidth="8.83203125" defaultRowHeight="15" x14ac:dyDescent="0.2"/>
  <cols>
    <col min="1" max="6" width="28.6640625" customWidth="1"/>
  </cols>
  <sheetData>
    <row r="1" spans="1:6" ht="19" customHeight="1" x14ac:dyDescent="0.25">
      <c r="A1" s="1" t="s">
        <v>78</v>
      </c>
    </row>
    <row r="3" spans="1:6" x14ac:dyDescent="0.2">
      <c r="A3" s="4" t="s">
        <v>47</v>
      </c>
      <c r="B3" s="4" t="s">
        <v>65</v>
      </c>
      <c r="C3" s="4" t="s">
        <v>66</v>
      </c>
      <c r="D3" s="4" t="s">
        <v>49</v>
      </c>
      <c r="E3" s="4" t="s">
        <v>50</v>
      </c>
      <c r="F3" s="4" t="s">
        <v>67</v>
      </c>
    </row>
    <row r="4" spans="1:6" x14ac:dyDescent="0.2">
      <c r="A4" s="2" t="s">
        <v>12</v>
      </c>
      <c r="B4" s="2" t="s">
        <v>79</v>
      </c>
      <c r="C4" s="7">
        <f>AVERAGE(MatchData[Possession %])</f>
        <v>55.1</v>
      </c>
      <c r="D4" s="2">
        <f>INDEX('Targets &amp; Notes'!$B:$B, MATCH("Possession %", 'Targets &amp; Notes'!$A:$A, 0))</f>
        <v>60</v>
      </c>
      <c r="E4" s="2" t="str">
        <f>"Stable"</f>
        <v>Stable</v>
      </c>
    </row>
    <row r="5" spans="1:6" x14ac:dyDescent="0.2">
      <c r="A5" s="2" t="s">
        <v>13</v>
      </c>
      <c r="B5" s="2" t="s">
        <v>80</v>
      </c>
      <c r="C5" s="7">
        <f>AVERAGE(MatchData[PPDA])</f>
        <v>8.1800000000000015</v>
      </c>
      <c r="D5" s="2" t="str">
        <f>"Target: "&amp;INDEX('Targets &amp; Notes'!$B:$B, MATCH("PPDA (min)", 'Targets &amp; Notes'!$A:$A, 0))&amp;"–"&amp;INDEX('Targets &amp; Notes'!$B:$B, MATCH("PPDA (max)", 'Targets &amp; Notes'!$A:$A, 0))</f>
        <v>Target: 6–8</v>
      </c>
      <c r="E5" s="2" t="str">
        <f>IF(AND(C5&gt;=INDEX('Targets &amp; Notes'!$B:$B, MATCH("PPDA (min)", 'Targets &amp; Notes'!$A:$A, 0)), C5&lt;=INDEX('Targets &amp; Notes'!$B:$B, MATCH("PPDA (max)", 'Targets &amp; Notes'!$A:$A, 0))),"On Track","Needs Improvement")</f>
        <v>Needs Improvement</v>
      </c>
    </row>
    <row r="6" spans="1:6" x14ac:dyDescent="0.2">
      <c r="A6" s="2" t="s">
        <v>81</v>
      </c>
      <c r="B6" s="2" t="s">
        <v>82</v>
      </c>
      <c r="C6" s="7">
        <f>AVERAGE(MatchData[Avg. Line (m)])</f>
        <v>45.51</v>
      </c>
      <c r="D6" s="2" t="s">
        <v>83</v>
      </c>
      <c r="E6" s="2" t="s">
        <v>83</v>
      </c>
    </row>
  </sheetData>
  <conditionalFormatting sqref="E4:E10">
    <cfRule type="containsText" dxfId="6" priority="1" operator="containsText" text="On Track">
      <formula>NOT(ISERROR(SEARCH("On Track",E4)))</formula>
    </cfRule>
    <cfRule type="containsText" dxfId="5" priority="2" operator="containsText" text="Needs Improvement">
      <formula>NOT(ISERROR(SEARCH("Needs Improvement",E4)))</formula>
    </cfRule>
    <cfRule type="containsText" dxfId="4" priority="3" operator="containsText" text="Stable">
      <formula>NOT(ISERROR(SEARCH("Stable",E4)))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E28" sqref="E28"/>
    </sheetView>
  </sheetViews>
  <sheetFormatPr baseColWidth="10" defaultColWidth="8.83203125" defaultRowHeight="15" x14ac:dyDescent="0.2"/>
  <cols>
    <col min="1" max="5" width="26.6640625" customWidth="1"/>
  </cols>
  <sheetData>
    <row r="1" spans="1:5" ht="19" customHeight="1" x14ac:dyDescent="0.25">
      <c r="A1" s="1" t="s">
        <v>84</v>
      </c>
    </row>
    <row r="3" spans="1:5" x14ac:dyDescent="0.2">
      <c r="A3" s="4" t="s">
        <v>47</v>
      </c>
      <c r="B3" s="4" t="s">
        <v>65</v>
      </c>
      <c r="C3" s="4" t="s">
        <v>66</v>
      </c>
      <c r="D3" s="4" t="s">
        <v>49</v>
      </c>
      <c r="E3" s="4" t="s">
        <v>50</v>
      </c>
    </row>
    <row r="4" spans="1:5" x14ac:dyDescent="0.2">
      <c r="A4" s="2" t="s">
        <v>85</v>
      </c>
      <c r="B4" s="2" t="s">
        <v>86</v>
      </c>
      <c r="C4" s="7">
        <f>AVERAGE(MatchData[WF Goals])</f>
        <v>2.6</v>
      </c>
      <c r="D4" s="2">
        <f>INDEX('Targets &amp; Notes'!$B:$B, MATCH("xG (WF)", 'Targets &amp; Notes'!$A:$A, 0))</f>
        <v>2</v>
      </c>
      <c r="E4" s="2" t="str">
        <f>IF(C4&gt;=2,"On Track","Needs Improvement")</f>
        <v>On Track</v>
      </c>
    </row>
    <row r="5" spans="1:5" x14ac:dyDescent="0.2">
      <c r="A5" s="2" t="s">
        <v>58</v>
      </c>
      <c r="B5" s="2" t="s">
        <v>76</v>
      </c>
      <c r="C5" s="7">
        <f>AVERAGE(MatchData[Opp Goals])</f>
        <v>2.2000000000000002</v>
      </c>
      <c r="D5" s="2">
        <f>INDEX('Targets &amp; Notes'!$B:$B, MATCH("Goals Against", 'Targets &amp; Notes'!$A:$A, 0))</f>
        <v>1</v>
      </c>
      <c r="E5" s="2" t="str">
        <f>IF(C5&lt;=D5,"On Track","Needs Improvement")</f>
        <v>Needs Improvement</v>
      </c>
    </row>
  </sheetData>
  <conditionalFormatting sqref="E4:E10">
    <cfRule type="containsText" dxfId="3" priority="1" operator="containsText" text="On Track">
      <formula>NOT(ISERROR(SEARCH("On Track",E4)))</formula>
    </cfRule>
    <cfRule type="containsText" dxfId="2" priority="2" operator="containsText" text="Needs Improvement">
      <formula>NOT(ISERROR(SEARCH("Needs Improvement",E4)))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>
      <selection activeCell="D29" sqref="D29"/>
    </sheetView>
  </sheetViews>
  <sheetFormatPr baseColWidth="10" defaultColWidth="8.83203125" defaultRowHeight="15" x14ac:dyDescent="0.2"/>
  <cols>
    <col min="1" max="5" width="28.6640625" customWidth="1"/>
  </cols>
  <sheetData>
    <row r="1" spans="1:5" ht="19" customHeight="1" x14ac:dyDescent="0.25">
      <c r="A1" s="1" t="s">
        <v>87</v>
      </c>
    </row>
    <row r="3" spans="1:5" x14ac:dyDescent="0.2">
      <c r="A3" s="4" t="s">
        <v>55</v>
      </c>
      <c r="B3" s="4" t="s">
        <v>66</v>
      </c>
      <c r="C3" s="4" t="s">
        <v>49</v>
      </c>
      <c r="D3" s="4" t="s">
        <v>50</v>
      </c>
      <c r="E3" s="4" t="s">
        <v>67</v>
      </c>
    </row>
    <row r="4" spans="1:5" x14ac:dyDescent="0.2">
      <c r="A4" s="2" t="s">
        <v>6</v>
      </c>
      <c r="B4" s="7">
        <f>AVERAGE(MatchData[Pass %])</f>
        <v>81.7</v>
      </c>
      <c r="C4" s="2">
        <f>INDEX('Targets &amp; Notes'!$B:$B, MATCH("Pass %", 'Targets &amp; Notes'!$A:$A, 0))</f>
        <v>85</v>
      </c>
      <c r="D4" s="2" t="str">
        <f>IF(B4&gt;=C4,"On Track","Needs Improvement")</f>
        <v>Needs Improvement</v>
      </c>
    </row>
    <row r="5" spans="1:5" x14ac:dyDescent="0.2">
      <c r="A5" s="2" t="s">
        <v>7</v>
      </c>
      <c r="B5" s="7">
        <f>AVERAGE(MatchData[xG (WF)])</f>
        <v>1.5169999999999999</v>
      </c>
      <c r="C5" s="2">
        <f>INDEX('Targets &amp; Notes'!$B:$B, MATCH("xG (WF)", 'Targets &amp; Notes'!$A:$A, 0))</f>
        <v>2</v>
      </c>
      <c r="D5" s="2" t="str">
        <f>IF(B5&gt;=C5,"On Track","Needs Improvement")</f>
        <v>Needs Improvement</v>
      </c>
    </row>
    <row r="6" spans="1:5" x14ac:dyDescent="0.2">
      <c r="A6" s="2" t="s">
        <v>9</v>
      </c>
      <c r="B6" s="7">
        <f>AVERAGE(MatchData[Box Entries])</f>
        <v>12.7</v>
      </c>
      <c r="C6" s="2">
        <f>INDEX('Targets &amp; Notes'!$B:$B, MATCH("Box Entries", 'Targets &amp; Notes'!$A:$A, 0))</f>
        <v>12</v>
      </c>
      <c r="D6" s="2" t="str">
        <f>IF(B6&gt;=C6,"On Track","Needs Improvement")</f>
        <v>On Track</v>
      </c>
    </row>
    <row r="7" spans="1:5" x14ac:dyDescent="0.2">
      <c r="A7" s="2" t="s">
        <v>57</v>
      </c>
      <c r="B7" s="7">
        <f>AVERAGE(MatchData[Def Duels Won %])</f>
        <v>51</v>
      </c>
      <c r="C7" s="2">
        <f>INDEX('Targets &amp; Notes'!$B:$B, MATCH("Defensive Duels Won %", 'Targets &amp; Notes'!$A:$A, 0))</f>
        <v>55</v>
      </c>
      <c r="D7" s="2" t="str">
        <f>IF(B7&gt;=C7,"On Track","Needs Improvement")</f>
        <v>Needs Improvement</v>
      </c>
    </row>
    <row r="8" spans="1:5" x14ac:dyDescent="0.2">
      <c r="A8" s="2" t="s">
        <v>52</v>
      </c>
      <c r="B8" s="7">
        <f>AVERAGE(MatchData[Opp Box Entries])</f>
        <v>17.3</v>
      </c>
      <c r="C8" s="2">
        <f>INDEX('Targets &amp; Notes'!$B:$B, MATCH("Opponent Box Entries", 'Targets &amp; Notes'!$A:$A, 0))</f>
        <v>15</v>
      </c>
      <c r="D8" s="2" t="str">
        <f>IF(B8&gt;=C8,"On Track","Needs Improvement")</f>
        <v>On Track</v>
      </c>
    </row>
    <row r="9" spans="1:5" x14ac:dyDescent="0.2">
      <c r="A9" s="2" t="s">
        <v>8</v>
      </c>
      <c r="B9" s="7">
        <f>AVERAGE(MatchData[xG (Opp)])</f>
        <v>2.2120000000000002</v>
      </c>
      <c r="C9" s="2">
        <f>INDEX('Targets &amp; Notes'!$B:$B, MATCH("xG (Opp)", 'Targets &amp; Notes'!$A:$A, 0))</f>
        <v>1.5</v>
      </c>
      <c r="D9" s="2" t="str">
        <f>IF(B9&lt;=C9,"On Track","Needs Improvement")</f>
        <v>Needs Improvement</v>
      </c>
    </row>
    <row r="10" spans="1:5" x14ac:dyDescent="0.2">
      <c r="A10" s="2" t="s">
        <v>58</v>
      </c>
      <c r="B10" s="7">
        <f>AVERAGE(MatchData[Opp Goals])</f>
        <v>2.2000000000000002</v>
      </c>
      <c r="C10" s="2">
        <f>INDEX('Targets &amp; Notes'!$B:$B, MATCH("Goals Against", 'Targets &amp; Notes'!$A:$A, 0))</f>
        <v>1</v>
      </c>
      <c r="D10" s="2" t="str">
        <f>IF(B10&lt;=C10,"On Track","Needs Improvement")</f>
        <v>Needs Improvement</v>
      </c>
    </row>
    <row r="11" spans="1:5" x14ac:dyDescent="0.2">
      <c r="A11" s="2" t="s">
        <v>13</v>
      </c>
      <c r="B11" s="7">
        <f>AVERAGE(MatchData[PPDA])</f>
        <v>8.1800000000000015</v>
      </c>
      <c r="C11" s="2" t="str">
        <f>"Target: "&amp;INDEX('Targets &amp; Notes'!$B:$B, MATCH("PPDA (min)", 'Targets &amp; Notes'!$A:$A, 0))&amp;"–"&amp;INDEX('Targets &amp; Notes'!$B:$B, MATCH("PPDA (max)", 'Targets &amp; Notes'!$A:$A, 0))</f>
        <v>Target: 6–8</v>
      </c>
      <c r="D11" s="2" t="str">
        <f>IF(AND(B11&gt;=INDEX('Targets &amp; Notes'!$B:$B, MATCH("PPDA (min)", 'Targets &amp; Notes'!$A:$A, 0)), B11&lt;=INDEX('Targets &amp; Notes'!$B:$B, MATCH("PPDA (max)", 'Targets &amp; Notes'!$A:$A, 0))),"On Track","Needs Improvement")</f>
        <v>Needs Improvement</v>
      </c>
    </row>
    <row r="16" spans="1:5" x14ac:dyDescent="0.2">
      <c r="A16" s="3" t="s">
        <v>88</v>
      </c>
    </row>
  </sheetData>
  <conditionalFormatting sqref="D3:D20">
    <cfRule type="containsText" dxfId="1" priority="1" operator="containsText" text="On Track">
      <formula>NOT(ISERROR(SEARCH("On Track",D3)))</formula>
    </cfRule>
    <cfRule type="containsText" dxfId="0" priority="2" operator="containsText" text="Needs Improvement">
      <formula>NOT(ISERROR(SEARCH("Needs Improvement",D3)))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 Summary (Analyst Data)</vt:lpstr>
      <vt:lpstr>Post-Match Report</vt:lpstr>
      <vt:lpstr>Targets &amp; Notes</vt:lpstr>
      <vt:lpstr>Attacking Metrics</vt:lpstr>
      <vt:lpstr>Defensive Metrics</vt:lpstr>
      <vt:lpstr>Possession &amp; Structure</vt:lpstr>
      <vt:lpstr>Game Outcomes</vt:lpstr>
      <vt:lpstr>Dashboard (Coach View)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Tandia, Abdel</cp:lastModifiedBy>
  <dcterms:created xsi:type="dcterms:W3CDTF">2025-10-08T22:07:12Z</dcterms:created>
  <dcterms:modified xsi:type="dcterms:W3CDTF">2026-01-13T22:51:20Z</dcterms:modified>
</cp:coreProperties>
</file>